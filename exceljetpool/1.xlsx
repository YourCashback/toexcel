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rojects\exceljetpool\exceljetpool\"/>
    </mc:Choice>
  </mc:AlternateContent>
  <xr:revisionPtr revIDLastSave="0" documentId="13_ncr:1_{7E300C84-1568-464E-82DD-38C537C527A3}" xr6:coauthVersionLast="47" xr6:coauthVersionMax="47" xr10:uidLastSave="{00000000-0000-0000-0000-000000000000}"/>
  <bookViews>
    <workbookView xWindow="-75" yWindow="8805" windowWidth="33750" windowHeight="187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E2" i="1"/>
  <c r="G12" i="1"/>
  <c r="E12" i="1"/>
  <c r="H12" i="1" s="1"/>
  <c r="G11" i="1"/>
  <c r="E11" i="1"/>
  <c r="H11" i="1" s="1"/>
  <c r="G10" i="1"/>
  <c r="E10" i="1"/>
  <c r="H10" i="1" s="1"/>
  <c r="G9" i="1"/>
  <c r="E9" i="1"/>
  <c r="H9" i="1" s="1"/>
  <c r="G8" i="1"/>
  <c r="E8" i="1"/>
  <c r="H8" i="1" s="1"/>
  <c r="G7" i="1"/>
  <c r="E7" i="1"/>
  <c r="H7" i="1" s="1"/>
  <c r="G6" i="1"/>
  <c r="E6" i="1"/>
  <c r="H6" i="1" s="1"/>
  <c r="G5" i="1"/>
  <c r="E5" i="1"/>
  <c r="H5" i="1" s="1"/>
  <c r="G4" i="1"/>
  <c r="E4" i="1"/>
  <c r="H4" i="1" s="1"/>
  <c r="G3" i="1"/>
  <c r="E3" i="1"/>
  <c r="H3" i="1" s="1"/>
</calcChain>
</file>

<file path=xl/sharedStrings.xml><?xml version="1.0" encoding="utf-8"?>
<sst xmlns="http://schemas.openxmlformats.org/spreadsheetml/2006/main" count="20" uniqueCount="20">
  <si>
    <t>Название товара</t>
  </si>
  <si>
    <t>Цена в магазине</t>
  </si>
  <si>
    <t>Цена на Озоне</t>
  </si>
  <si>
    <t xml:space="preserve"> Закупочная цена в Китае (CNY/Юани)</t>
  </si>
  <si>
    <t xml:space="preserve"> Закупочная цена в Китае (RUB/Рубли)</t>
  </si>
  <si>
    <t>Цена доставки (CNY/Юани)</t>
  </si>
  <si>
    <t>Цена доставки  (RUB/Рубли)</t>
  </si>
  <si>
    <t>Итоговая цена</t>
  </si>
  <si>
    <t>Jetpool</t>
  </si>
  <si>
    <t>Смеситель для душевой кабины Quadro 1-режимный</t>
  </si>
  <si>
    <t>Смеситель на борт ванны или душевой</t>
  </si>
  <si>
    <t>Комплект гидромассажный &amp;quot;МАК&amp;quot; ASD (1100 W + 8 дж.) в Красногорске</t>
  </si>
  <si>
    <t>4-кнопочная верхняя панель управления джакузи Balboa 53238</t>
  </si>
  <si>
    <t>Циркуляционный насос для Спа джакузи E10 Spa, Black в Красногорске</t>
  </si>
  <si>
    <t>Точечный душевой трап 150х150 мм CONFLUO STANDARD TIDE 1 MASK,металл с перфорацией Tide (Волна), с рамкой</t>
  </si>
  <si>
    <t>Ножки 45мм М12, к-т 4 шт в Красногорске</t>
  </si>
  <si>
    <t>Комплект хромотерапии D50 (металл) для ванны</t>
  </si>
  <si>
    <t>Ролик универсальный для душевой кабины 20 мм, вылет 6 мм (4шт) в Красногорске</t>
  </si>
  <si>
    <t>Сифон для душевой кабины D45-50 с грязеуловителем, Click&amp;amp;Clack, выпуск  40-50мм в Красногорске</t>
  </si>
  <si>
    <t>Крыша для душевой кабины 90 х 90 см в Красногорске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</si>
</sst>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[$¥-478]#,##0.00"/>
    <numFmt numFmtId="165" formatCode="#,##0.00\ &quot;₽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color rgb="FF3F3F3F"/>
      <name val="Calibri"/>
      <family val="2"/>
      <charset val="204"/>
      <scheme val="minor"/>
    </font>
    <font>
      <b/>
      <sz val="18"/>
      <color rgb="FF3F3F3F"/>
      <name val="Calibri"/>
      <family val="2"/>
      <scheme val="minor"/>
    </font>
    <font>
      <b/>
      <sz val="18"/>
      <name val="Calibri"/>
      <family val="2"/>
      <charset val="204"/>
    </font>
    <font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44" fontId="1" fillId="0" borderId="0"/>
    <xf numFmtId="0" fontId="2" fillId="2" borderId="2"/>
  </cellStyleXfs>
  <cellXfs count="13">
    <xf numFmtId="0" fontId="0" fillId="0" borderId="0" xfId="0"/>
    <xf numFmtId="0" fontId="3" fillId="0" borderId="0" xfId="0" applyFont="1"/>
    <xf numFmtId="164" fontId="3" fillId="0" borderId="0" xfId="0" applyNumberFormat="1" applyFont="1"/>
    <xf numFmtId="164" fontId="3" fillId="0" borderId="0" xfId="1" applyNumberFormat="1" applyFont="1"/>
    <xf numFmtId="165" fontId="3" fillId="0" borderId="0" xfId="0" applyNumberFormat="1" applyFont="1"/>
    <xf numFmtId="0" fontId="6" fillId="2" borderId="2" xfId="2" applyFont="1"/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5" fillId="2" borderId="2" xfId="2" applyFont="1" applyAlignment="1">
      <alignment horizontal="left" vertical="center"/>
    </xf>
    <xf numFmtId="0" fontId="8" fillId="0" borderId="0" xfId="0" applyFont="1"/>
    <xf numFmtId="165" fontId="8" fillId="0" borderId="0" xfId="0" applyNumberFormat="1" applyFont="1"/>
  </cellXfs>
  <cellStyles count="3">
    <cellStyle name="Вывод" xfId="2" builtinId="21"/>
    <cellStyle name="Денежный" xfId="1" builtinId="4"/>
    <cellStyle name="Обычный" xfId="0" builtinId="0"/>
  </cellStyles>
  <dxfs count="1">
    <dxf>
      <fill>
        <patternFill>
          <bgColor rgb="FFFF5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70" zoomScaleNormal="70" workbookViewId="0">
      <selection activeCell="H1" sqref="H1:H1048576"/>
    </sheetView>
  </sheetViews>
  <sheetFormatPr defaultRowHeight="23.25" x14ac:dyDescent="0.35"/>
  <cols>
    <col min="1" max="1" width="143.42578125" style="1" customWidth="1"/>
    <col min="2" max="2" width="36.42578125" style="4" customWidth="1"/>
    <col min="3" max="3" width="38.85546875" style="4" customWidth="1"/>
    <col min="4" max="4" width="57.7109375" style="2" customWidth="1"/>
    <col min="5" max="5" width="47.7109375" style="4" customWidth="1"/>
    <col min="6" max="6" width="51.5703125" style="2" customWidth="1"/>
    <col min="7" max="7" width="46.85546875" style="4" customWidth="1"/>
    <col min="8" max="8" width="23.5703125" style="5" customWidth="1"/>
  </cols>
  <sheetData>
    <row r="1" spans="1:8" ht="48.75" customHeight="1" x14ac:dyDescent="0.25">
      <c r="A1" s="6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9" t="s">
        <v>5</v>
      </c>
      <c r="G1" s="8" t="s">
        <v>6</v>
      </c>
      <c r="H1" s="10" t="s">
        <v>7</v>
      </c>
    </row>
    <row r="2" spans="1:8" ht="28.5" customHeight="1" x14ac:dyDescent="0.35">
      <c r="A2" s="1" t="s">
        <v>8</v>
      </c>
      <c r="B2" s="4">
        <v>2400</v>
      </c>
      <c r="C2" s="4">
        <v>2200</v>
      </c>
      <c r="D2" s="3">
        <v>12</v>
      </c>
      <c r="E2" s="4">
        <f>D2*12</f>
        <v>144</v>
      </c>
      <c r="F2" s="3">
        <v>11</v>
      </c>
      <c r="G2" s="4">
        <f>F2*12</f>
        <v>132</v>
      </c>
    </row>
    <row r="3" spans="1:8" ht="28.5" customHeight="1" x14ac:dyDescent="0.35">
      <c r="A3" s="1" t="s">
        <v>9</v>
      </c>
      <c r="B3" s="4">
        <v>2400</v>
      </c>
      <c r="C3" s="4">
        <v>2200</v>
      </c>
      <c r="D3" s="3">
        <v>13</v>
      </c>
      <c r="E3" s="4">
        <f t="shared" ref="E2:E12" si="0">D3*12</f>
        <v>156</v>
      </c>
      <c r="F3" s="2">
        <v>12</v>
      </c>
      <c r="G3" s="4">
        <f t="shared" ref="G2:G12" si="1">F3*12</f>
        <v>144</v>
      </c>
      <c r="H3" s="5">
        <f t="shared" ref="H2:H12" si="2">E3+G3</f>
        <v>300</v>
      </c>
    </row>
    <row r="4" spans="1:8" ht="28.5" customHeight="1" x14ac:dyDescent="0.35">
      <c r="A4" s="1" t="s">
        <v>10</v>
      </c>
      <c r="B4" s="4">
        <v>2600</v>
      </c>
      <c r="C4" s="4">
        <v>2200</v>
      </c>
      <c r="D4" s="3">
        <v>14</v>
      </c>
      <c r="E4" s="4">
        <f t="shared" si="0"/>
        <v>168</v>
      </c>
      <c r="F4" s="3">
        <v>13</v>
      </c>
      <c r="G4" s="4">
        <f t="shared" si="1"/>
        <v>156</v>
      </c>
      <c r="H4" s="5">
        <f t="shared" si="2"/>
        <v>324</v>
      </c>
    </row>
    <row r="5" spans="1:8" ht="28.5" customHeight="1" x14ac:dyDescent="0.35">
      <c r="A5" s="1" t="s">
        <v>11</v>
      </c>
      <c r="B5" s="4">
        <v>22100</v>
      </c>
      <c r="C5" s="4">
        <v>2200</v>
      </c>
      <c r="D5" s="3">
        <v>15</v>
      </c>
      <c r="E5" s="4">
        <f t="shared" si="0"/>
        <v>180</v>
      </c>
      <c r="F5" s="2">
        <v>14</v>
      </c>
      <c r="G5" s="4">
        <f t="shared" si="1"/>
        <v>168</v>
      </c>
      <c r="H5" s="5">
        <f t="shared" si="2"/>
        <v>348</v>
      </c>
    </row>
    <row r="6" spans="1:8" ht="28.5" customHeight="1" x14ac:dyDescent="0.35">
      <c r="A6" s="1" t="s">
        <v>12</v>
      </c>
      <c r="B6" s="4">
        <v>38250</v>
      </c>
      <c r="C6" s="4">
        <v>2200</v>
      </c>
      <c r="D6" s="3">
        <v>16</v>
      </c>
      <c r="E6" s="4">
        <f t="shared" si="0"/>
        <v>192</v>
      </c>
      <c r="F6" s="3">
        <v>15</v>
      </c>
      <c r="G6" s="4">
        <f t="shared" si="1"/>
        <v>180</v>
      </c>
      <c r="H6" s="5">
        <f t="shared" si="2"/>
        <v>372</v>
      </c>
    </row>
    <row r="7" spans="1:8" ht="28.5" customHeight="1" x14ac:dyDescent="0.35">
      <c r="A7" s="1" t="s">
        <v>13</v>
      </c>
      <c r="B7" s="4">
        <v>46750</v>
      </c>
      <c r="C7" s="4">
        <v>2200</v>
      </c>
      <c r="D7" s="3">
        <v>17</v>
      </c>
      <c r="E7" s="4">
        <f t="shared" si="0"/>
        <v>204</v>
      </c>
      <c r="F7" s="2">
        <v>16</v>
      </c>
      <c r="G7" s="4">
        <f t="shared" si="1"/>
        <v>192</v>
      </c>
      <c r="H7" s="5">
        <f t="shared" si="2"/>
        <v>396</v>
      </c>
    </row>
    <row r="8" spans="1:8" x14ac:dyDescent="0.35">
      <c r="A8" s="1" t="s">
        <v>14</v>
      </c>
      <c r="B8" s="4">
        <v>5520</v>
      </c>
      <c r="C8" s="4">
        <v>2200</v>
      </c>
      <c r="D8" s="3">
        <v>18</v>
      </c>
      <c r="E8" s="4">
        <f t="shared" si="0"/>
        <v>216</v>
      </c>
      <c r="F8" s="3">
        <v>17</v>
      </c>
      <c r="G8" s="4">
        <f t="shared" si="1"/>
        <v>204</v>
      </c>
      <c r="H8" s="5">
        <f t="shared" si="2"/>
        <v>420</v>
      </c>
    </row>
    <row r="9" spans="1:8" x14ac:dyDescent="0.35">
      <c r="A9" s="1" t="s">
        <v>15</v>
      </c>
      <c r="B9" s="4">
        <v>350</v>
      </c>
      <c r="C9" s="4">
        <v>2200</v>
      </c>
      <c r="D9" s="3">
        <v>19</v>
      </c>
      <c r="E9" s="4">
        <f t="shared" si="0"/>
        <v>228</v>
      </c>
      <c r="F9" s="2">
        <v>18</v>
      </c>
      <c r="G9" s="4">
        <f t="shared" si="1"/>
        <v>216</v>
      </c>
      <c r="H9" s="5">
        <f t="shared" si="2"/>
        <v>444</v>
      </c>
    </row>
    <row r="10" spans="1:8" x14ac:dyDescent="0.35">
      <c r="A10" s="1" t="s">
        <v>16</v>
      </c>
      <c r="B10" s="4">
        <v>14500</v>
      </c>
      <c r="C10" s="4">
        <v>13000</v>
      </c>
      <c r="D10" s="3">
        <v>20</v>
      </c>
      <c r="E10" s="4">
        <f t="shared" si="0"/>
        <v>240</v>
      </c>
      <c r="F10" s="3">
        <v>19</v>
      </c>
      <c r="G10" s="4">
        <f t="shared" si="1"/>
        <v>228</v>
      </c>
      <c r="H10" s="5">
        <f t="shared" si="2"/>
        <v>468</v>
      </c>
    </row>
    <row r="11" spans="1:8" x14ac:dyDescent="0.35">
      <c r="A11" s="1" t="s">
        <v>17</v>
      </c>
      <c r="B11" s="4">
        <v>750</v>
      </c>
      <c r="C11" s="4">
        <v>733</v>
      </c>
      <c r="D11" s="2">
        <v>50</v>
      </c>
      <c r="E11" s="4">
        <f t="shared" si="0"/>
        <v>600</v>
      </c>
      <c r="F11" s="2">
        <v>5</v>
      </c>
      <c r="G11" s="4">
        <f t="shared" si="1"/>
        <v>60</v>
      </c>
      <c r="H11" s="5">
        <f t="shared" si="2"/>
        <v>660</v>
      </c>
    </row>
    <row r="12" spans="1:8" x14ac:dyDescent="0.35">
      <c r="A12" s="1" t="s">
        <v>18</v>
      </c>
      <c r="B12" s="4">
        <v>690</v>
      </c>
      <c r="C12" s="4">
        <v>41</v>
      </c>
      <c r="D12" s="2">
        <v>2</v>
      </c>
      <c r="E12" s="4">
        <f t="shared" si="0"/>
        <v>24</v>
      </c>
      <c r="F12" s="2">
        <v>4</v>
      </c>
      <c r="G12" s="4">
        <f t="shared" si="1"/>
        <v>48</v>
      </c>
      <c r="H12" s="5">
        <f t="shared" si="2"/>
        <v>72</v>
      </c>
    </row>
    <row r="13" spans="1:8" x14ac:dyDescent="0.35">
      <c r="A13" s="11" t="s">
        <v>19</v>
      </c>
      <c r="B13" s="12">
        <v>3800</v>
      </c>
    </row>
  </sheetData>
  <conditionalFormatting sqref="C1:C100000">
    <cfRule type="expression" dxfId="0" priority="1" stopIfTrue="1">
      <formula>AND(C1&lt;&gt;"", B1&lt;&gt;"", C1/B1&lt;=0.75)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2025-11-16T17:38:35Z</dcterms:created>
  <dcterms:modified xsi:type="dcterms:W3CDTF">2025-11-16T20:24:14Z</dcterms:modified>
</cp:coreProperties>
</file>